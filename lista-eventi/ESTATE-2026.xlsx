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ore\Downloads\"/>
    </mc:Choice>
  </mc:AlternateContent>
  <xr:revisionPtr revIDLastSave="0" documentId="13_ncr:1_{83F6EC2F-4EFA-4145-B326-94C4E235CE15}" xr6:coauthVersionLast="47" xr6:coauthVersionMax="47" xr10:uidLastSave="{00000000-0000-0000-0000-000000000000}"/>
  <bookViews>
    <workbookView xWindow="-108" yWindow="-108" windowWidth="23256" windowHeight="12456" activeTab="2" xr2:uid="{6F92E0EB-2999-4C51-8B8F-BFD6E4FBA8CD}"/>
  </bookViews>
  <sheets>
    <sheet name="Foglio1" sheetId="1" r:id="rId1"/>
    <sheet name="Foglio2" sheetId="2" r:id="rId2"/>
    <sheet name="Foglio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2" l="1"/>
  <c r="C20" i="2"/>
  <c r="C11" i="2"/>
</calcChain>
</file>

<file path=xl/sharedStrings.xml><?xml version="1.0" encoding="utf-8"?>
<sst xmlns="http://schemas.openxmlformats.org/spreadsheetml/2006/main" count="604" uniqueCount="190">
  <si>
    <t>DATA</t>
  </si>
  <si>
    <t>EVENTO</t>
  </si>
  <si>
    <t>LUOGO</t>
  </si>
  <si>
    <t>ORARIO</t>
  </si>
  <si>
    <t>ORGANIZZATORE</t>
  </si>
  <si>
    <t>GIORNO</t>
  </si>
  <si>
    <t>PROGRAMMAZIONE ESTATE 2026</t>
  </si>
  <si>
    <t>MILANO-TARANTO</t>
  </si>
  <si>
    <t>P.ZZA MONUMENTO</t>
  </si>
  <si>
    <t>09.30</t>
  </si>
  <si>
    <t>INVENTICANO</t>
  </si>
  <si>
    <t>CAVEA</t>
  </si>
  <si>
    <t>FESTA DELL'AIA</t>
  </si>
  <si>
    <t>CASTELLO</t>
  </si>
  <si>
    <t>10.00</t>
  </si>
  <si>
    <t>PASSO</t>
  </si>
  <si>
    <t>BRACIATA SOTTO LE STELLE</t>
  </si>
  <si>
    <t>20.00</t>
  </si>
  <si>
    <t>CORTO E A CAPO</t>
  </si>
  <si>
    <t>SARABANDA VENTICANESE</t>
  </si>
  <si>
    <t>SAGRA</t>
  </si>
  <si>
    <t>GIORNATA DELLA GIOVENTU</t>
  </si>
  <si>
    <t>P.ZZA MERCATO</t>
  </si>
  <si>
    <t>FESTA PATRONALE</t>
  </si>
  <si>
    <t>BEEROPOLY</t>
  </si>
  <si>
    <t>FIERA</t>
  </si>
  <si>
    <t>CACCIA AL TESORO</t>
  </si>
  <si>
    <t>OPERA LIRICA</t>
  </si>
  <si>
    <t>PROSSIMA FERMATA</t>
  </si>
  <si>
    <t>SABATO</t>
  </si>
  <si>
    <t>DOMENICA</t>
  </si>
  <si>
    <t>LUNEDI</t>
  </si>
  <si>
    <t>MARTEDI</t>
  </si>
  <si>
    <t>MERCOLEDI</t>
  </si>
  <si>
    <t>GIOVEDI</t>
  </si>
  <si>
    <t>VENERDI</t>
  </si>
  <si>
    <t>ZOMPA CA TE PASS</t>
  </si>
  <si>
    <t>09.00</t>
  </si>
  <si>
    <t>IN VENTICANO</t>
  </si>
  <si>
    <t>SORIANI</t>
  </si>
  <si>
    <t>SIAE</t>
  </si>
  <si>
    <t>TIPOGRAFIA</t>
  </si>
  <si>
    <t>TEATRO AMAT</t>
  </si>
  <si>
    <t>CASAGRANDE</t>
  </si>
  <si>
    <t>ENTRATE</t>
  </si>
  <si>
    <t>10.30</t>
  </si>
  <si>
    <t>20.30</t>
  </si>
  <si>
    <t>CAIZZO</t>
  </si>
  <si>
    <t>SANT'ALESSIO</t>
  </si>
  <si>
    <t>P.ZZA SANTA MARIA</t>
  </si>
  <si>
    <t>TEATRO AMATORIALE</t>
  </si>
  <si>
    <t>GIORNATA GIOVENTU</t>
  </si>
  <si>
    <t>BIGLIETTAZIONE</t>
  </si>
  <si>
    <t>P.ZZA VERARDO</t>
  </si>
  <si>
    <t>FORUM GIOVANI</t>
  </si>
  <si>
    <t>COMUNE</t>
  </si>
  <si>
    <t>MOTO CLUB</t>
  </si>
  <si>
    <t>PARROCCHIA</t>
  </si>
  <si>
    <t>POLISPORTIVA / PRO LOCO</t>
  </si>
  <si>
    <t>PRO LOCO</t>
  </si>
  <si>
    <t>DAENA</t>
  </si>
  <si>
    <t>FORUM DONNE</t>
  </si>
  <si>
    <t>PARCO SCARANO</t>
  </si>
  <si>
    <t>ALT LEVEL</t>
  </si>
  <si>
    <t>USCITE</t>
  </si>
  <si>
    <t>SPONSOR</t>
  </si>
  <si>
    <t xml:space="preserve">CAPITOLO EVENTI </t>
  </si>
  <si>
    <t>CAPITOLO CONTRIBUTI</t>
  </si>
  <si>
    <t>AUMENTO CAPITOLO</t>
  </si>
  <si>
    <t>RIMANENZA</t>
  </si>
  <si>
    <t>GIORNATA ECOLOGICA</t>
  </si>
  <si>
    <t>PONTEROTTO</t>
  </si>
  <si>
    <t>GITA ACQUAPARK</t>
  </si>
  <si>
    <t>ISOLA VERDE - PONTECAGNANO</t>
  </si>
  <si>
    <t>17.30</t>
  </si>
  <si>
    <t>TORNEO CALCIO</t>
  </si>
  <si>
    <t>TORNEO CALCIO/ BOCCE</t>
  </si>
  <si>
    <t>FORUM GIOVANI / BOCCE</t>
  </si>
  <si>
    <t>FESTA BAMBINI</t>
  </si>
  <si>
    <t>TORNEO SCOPONE SCENTIFICO</t>
  </si>
  <si>
    <t>CENTRO ANZIANI</t>
  </si>
  <si>
    <t>TORNEO BRISCOLA</t>
  </si>
  <si>
    <t>DAL 24/06 AL 04/07</t>
  </si>
  <si>
    <t>TORNEO BEACH VOLLEY</t>
  </si>
  <si>
    <t>GRAFICA</t>
  </si>
  <si>
    <t>REFERENTE</t>
  </si>
  <si>
    <t>CONTATTO</t>
  </si>
  <si>
    <t>ARTURO NARDONE</t>
  </si>
  <si>
    <t>PIERGIORGIO TAMMARO</t>
  </si>
  <si>
    <t>SI</t>
  </si>
  <si>
    <t>SI - FESTIVAL</t>
  </si>
  <si>
    <t>PIANO SICUREZZA</t>
  </si>
  <si>
    <t>NO</t>
  </si>
  <si>
    <t>FESTA SANT'ALESSIO</t>
  </si>
  <si>
    <t>?</t>
  </si>
  <si>
    <t>TERRONI SI NASCE - PAOLO CAIAZZO</t>
  </si>
  <si>
    <t>KIKKADREAMS</t>
  </si>
  <si>
    <t>CARUSO FEDERICA</t>
  </si>
  <si>
    <t>P.ZZA PADRE PIO</t>
  </si>
  <si>
    <t>DANIEL PANELLA</t>
  </si>
  <si>
    <t>19.00</t>
  </si>
  <si>
    <t>ASSUNTA ZERIAL</t>
  </si>
  <si>
    <t>MOGAVERO MICHELE</t>
  </si>
  <si>
    <t>NU BAMBINIELLO E TRE SAN GIUSEPPE</t>
  </si>
  <si>
    <t>21.00</t>
  </si>
  <si>
    <t>19.30</t>
  </si>
  <si>
    <t>11.00</t>
  </si>
  <si>
    <t>18.00</t>
  </si>
  <si>
    <t>17.00</t>
  </si>
  <si>
    <t>FRAZIONE PASSO</t>
  </si>
  <si>
    <t>AUGUSTO NUZZOLO</t>
  </si>
  <si>
    <t>PANELLA DANIEL</t>
  </si>
  <si>
    <t>ARTURO NARDONE/RUSSO CARLO</t>
  </si>
  <si>
    <t>POLISENA PINA</t>
  </si>
  <si>
    <t>FINALI TORNEO CALCIO/BOCCE</t>
  </si>
  <si>
    <t>COMITATO</t>
  </si>
  <si>
    <t>COLARUSSO NICOLA</t>
  </si>
  <si>
    <t>CILLO VANNI</t>
  </si>
  <si>
    <t>GREEN HOPE</t>
  </si>
  <si>
    <t>COMUNE / TUTTI</t>
  </si>
  <si>
    <t>LA PROVA DEL N9VE - CASAGARANDE</t>
  </si>
  <si>
    <t>SI -FESTIVAL</t>
  </si>
  <si>
    <t>SI - FESTIVAL ?</t>
  </si>
  <si>
    <t>PRESEN. LIBRO - DON ROBERTO FACCENDA</t>
  </si>
  <si>
    <t>FESTA AL FORTE</t>
  </si>
  <si>
    <t>C/DA COLONNA</t>
  </si>
  <si>
    <t>PETRILLO MICHELE</t>
  </si>
  <si>
    <t>3272010235 / 3478073748</t>
  </si>
  <si>
    <t xml:space="preserve">CARMINE SAUCHELLI </t>
  </si>
  <si>
    <t xml:space="preserve">BIMBI IN PIAZZA - GIOCHI, MUSICA E GONFIABILI </t>
  </si>
  <si>
    <t>DON IVAN ?</t>
  </si>
  <si>
    <t>DESCRIZIONE</t>
  </si>
  <si>
    <t>CAVEA TEATRALE</t>
  </si>
  <si>
    <t>P.zza Monumento ai Caduti</t>
  </si>
  <si>
    <t>Parco Scarano</t>
  </si>
  <si>
    <t>Contest Teatrale</t>
  </si>
  <si>
    <r>
      <t>SOSTA 39</t>
    </r>
    <r>
      <rPr>
        <b/>
        <sz val="12"/>
        <color rgb="FFFF0000"/>
        <rFont val="Aptos Narrow"/>
        <family val="2"/>
      </rPr>
      <t>ª</t>
    </r>
    <r>
      <rPr>
        <b/>
        <sz val="12"/>
        <color rgb="FFFF0000"/>
        <rFont val="Calibri"/>
        <family val="2"/>
      </rPr>
      <t xml:space="preserve"> MILANO TARANTO</t>
    </r>
  </si>
  <si>
    <t>Rievocazione per moto d'epoca a tappe</t>
  </si>
  <si>
    <t>Stand Gastronomici Tradizionali Musica con "FABIO'S BAND"</t>
  </si>
  <si>
    <t>P.zza Santa Maria</t>
  </si>
  <si>
    <t>PAOLO CAIAZZO in "TERRONE SI NASCE, ED IO LO NACQUI…MODESTAMENTE!</t>
  </si>
  <si>
    <t>Cavea Teatrale</t>
  </si>
  <si>
    <t>A(R)MARSI CON CINQUE CIOTTOLI</t>
  </si>
  <si>
    <t>Presentazione del Libro di Don Roberto Faccenda</t>
  </si>
  <si>
    <t>PROSSIMA FERMATA…4</t>
  </si>
  <si>
    <t>Degustazione Piatti Tipici Musica Live con i "-------"</t>
  </si>
  <si>
    <t>P.zza Padre Pio Castello del Lago</t>
  </si>
  <si>
    <t>BIMBI IN PIAZZA!!!</t>
  </si>
  <si>
    <t>Giochi, Musica e Gonfiabili</t>
  </si>
  <si>
    <t>GIORNATA DELLO SPORT</t>
  </si>
  <si>
    <t>Giochi di Squadra, dimostrazioni attività sportive, Musica e Degustazione</t>
  </si>
  <si>
    <t>16.30</t>
  </si>
  <si>
    <t>TORNEO DI BRISCOLA</t>
  </si>
  <si>
    <t>16.00</t>
  </si>
  <si>
    <t>Rievocazioni dell'antica trebbiatura e Sagra Contadina</t>
  </si>
  <si>
    <t>P.zza Castralaci Castello del Lago</t>
  </si>
  <si>
    <t>"LE VERDI SPERANZE"</t>
  </si>
  <si>
    <t xml:space="preserve">Concerto di musica lirica in omaggio a Giuseppe Verdi </t>
  </si>
  <si>
    <t>Commedia Teatrale presentata dall'Ass. ATLAS APS</t>
  </si>
  <si>
    <t>Tipicità in Degustazione</t>
  </si>
  <si>
    <t>Festa SS.MA. Annunziatta</t>
  </si>
  <si>
    <t>Passo di Venticano</t>
  </si>
  <si>
    <t>MARIO PUZO FILM FESTIVAL</t>
  </si>
  <si>
    <t>XII Edizione</t>
  </si>
  <si>
    <t>CACCIA AL TESORO EVOLUTION</t>
  </si>
  <si>
    <t>????</t>
  </si>
  <si>
    <t>OMERO ODISSEA</t>
  </si>
  <si>
    <t>Commedia Tragica e Comica del Teatro antico Regia con Gianluigi Tosto</t>
  </si>
  <si>
    <t>SARABANDA VENTICANESE 3</t>
  </si>
  <si>
    <t>Indovina la canzone…Gioco di Quiz a Squadre</t>
  </si>
  <si>
    <t>37ª SAGRA DEL PROSCIUTTO, DEL VINO  E DELL'AGNELLO</t>
  </si>
  <si>
    <t>FINALI TORNEO CALCIO A 5 &amp; TORNEO DI BOCCE</t>
  </si>
  <si>
    <t>GRISU', GIUSEPPE E MARIA di Gianni Clementi</t>
  </si>
  <si>
    <t>Commedia Teatrale presentata dalla compagnia "Attori in Corso"</t>
  </si>
  <si>
    <t>P.zza Mercato</t>
  </si>
  <si>
    <t>Tornei, Stand Gastronomici e Musica Live</t>
  </si>
  <si>
    <t>Animazione, Gonfiabili e Spettacoli di Magia</t>
  </si>
  <si>
    <t>TORNEO DI SCOPONE SCENTIFICO</t>
  </si>
  <si>
    <t>FESTA DEI BAMBINI</t>
  </si>
  <si>
    <t>MAURIZIO CASAGRANDE in "LA PROVA DEL N9VE"</t>
  </si>
  <si>
    <t>GIGI SORIANI Top Italian DJ</t>
  </si>
  <si>
    <t>P.zza A. Verardo</t>
  </si>
  <si>
    <t>22.00</t>
  </si>
  <si>
    <t>FESTEGGIAMENTI PATRONALI</t>
  </si>
  <si>
    <t>Matinée Musicale - Premiato Concerto Bandistico "La Grande Banda del Cilento" - Spettacolo Pirotecnico</t>
  </si>
  <si>
    <t>BEEROPOLI</t>
  </si>
  <si>
    <t>Area Fieristica</t>
  </si>
  <si>
    <t>Il primo beeritaly del Sud Italia</t>
  </si>
  <si>
    <t>Prendiamoci Cura di Ponterotto</t>
  </si>
  <si>
    <t>Ponterotto Castello del Lago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</si>
</sst>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b/>
      <u/>
      <sz val="16"/>
      <color rgb="FFFF0000"/>
      <name val="Calibri"/>
      <family val="2"/>
      <scheme val="minor"/>
    </font>
    <font>
      <b/>
      <sz val="12"/>
      <name val="Calibri"/>
      <family val="2"/>
    </font>
    <font>
      <b/>
      <sz val="14"/>
      <color rgb="FFFF0000"/>
      <name val="Calibri"/>
      <family val="2"/>
      <scheme val="minor"/>
    </font>
    <font>
      <b/>
      <sz val="12"/>
      <color rgb="FFFF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" fontId="3" fillId="0" borderId="1" xfId="0" applyNumberFormat="1" applyFont="1" applyBorder="1" applyAlignment="1">
      <alignment vertical="center" wrapText="1"/>
    </xf>
    <xf numFmtId="16" fontId="4" fillId="0" borderId="1" xfId="0" applyNumberFormat="1" applyFont="1" applyBorder="1" applyAlignment="1">
      <alignment horizontal="center" vertical="center" wrapText="1"/>
    </xf>
    <xf numFmtId="0" fontId="0" fillId="0" borderId="5" xfId="0" applyBorder="1"/>
    <xf numFmtId="16" fontId="0" fillId="0" borderId="5" xfId="0" applyNumberFormat="1" applyBorder="1"/>
    <xf numFmtId="0" fontId="7" fillId="0" borderId="1" xfId="0" applyFont="1" applyBorder="1"/>
    <xf numFmtId="0" fontId="4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0" fontId="3" fillId="0" borderId="1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6" fontId="3" fillId="0" borderId="11" xfId="0" applyNumberFormat="1" applyFont="1" applyBorder="1" applyAlignment="1">
      <alignment vertical="center" wrapText="1"/>
    </xf>
    <xf numFmtId="16" fontId="3" fillId="0" borderId="11" xfId="0" applyNumberFormat="1" applyFont="1" applyBorder="1" applyAlignment="1">
      <alignment horizontal="right" vertical="center" wrapText="1"/>
    </xf>
    <xf numFmtId="16" fontId="3" fillId="0" borderId="12" xfId="0" applyNumberFormat="1" applyFont="1" applyBorder="1" applyAlignment="1">
      <alignment horizontal="right" vertical="center" wrapText="1"/>
    </xf>
    <xf numFmtId="16" fontId="3" fillId="0" borderId="11" xfId="0" applyNumberFormat="1" applyFont="1" applyBorder="1" applyAlignment="1">
      <alignment horizontal="left" vertical="center" wrapText="1"/>
    </xf>
    <xf numFmtId="16" fontId="3" fillId="0" borderId="12" xfId="0" applyNumberFormat="1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20" fontId="3" fillId="0" borderId="11" xfId="0" applyNumberFormat="1" applyFont="1" applyBorder="1" applyAlignment="1">
      <alignment horizontal="center" vertical="center" wrapText="1"/>
    </xf>
    <xf numFmtId="20" fontId="3" fillId="0" borderId="12" xfId="0" applyNumberFormat="1" applyFont="1" applyBorder="1" applyAlignment="1">
      <alignment horizontal="center" vertical="center" wrapText="1"/>
    </xf>
    <xf numFmtId="16" fontId="4" fillId="0" borderId="1" xfId="0" applyNumberFormat="1" applyFont="1" applyBorder="1" applyAlignment="1">
      <alignment vertical="center" wrapText="1"/>
    </xf>
    <xf numFmtId="20" fontId="4" fillId="0" borderId="11" xfId="0" applyNumberFormat="1" applyFont="1" applyBorder="1" applyAlignment="1">
      <alignment horizontal="center" vertical="center" wrapText="1"/>
    </xf>
    <xf numFmtId="20" fontId="4" fillId="0" borderId="12" xfId="0" applyNumberFormat="1" applyFont="1" applyBorder="1" applyAlignment="1">
      <alignment horizontal="center" vertical="center" wrapText="1"/>
    </xf>
    <xf numFmtId="20" fontId="4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20" fontId="3" fillId="0" borderId="6" xfId="0" applyNumberFormat="1" applyFont="1" applyBorder="1" applyAlignment="1">
      <alignment horizontal="center" vertical="center" wrapText="1"/>
    </xf>
    <xf numFmtId="20" fontId="4" fillId="0" borderId="6" xfId="0" applyNumberFormat="1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6D7B8-CC41-4CDA-849A-D131F52C76C0}">
  <dimension ref="A1:J52"/>
  <sheetViews>
    <sheetView zoomScale="70" zoomScaleNormal="70" workbookViewId="0">
      <selection activeCell="A2" sqref="A2:E53"/>
    </sheetView>
  </sheetViews>
  <sheetFormatPr defaultRowHeight="14.4" x14ac:dyDescent="0.3"/>
  <cols>
    <col min="1" max="1" width="19.5546875" customWidth="1"/>
    <col min="2" max="2" width="13.88671875" customWidth="1"/>
    <col min="3" max="3" width="52.5546875" customWidth="1"/>
    <col min="4" max="4" width="34" customWidth="1"/>
    <col min="5" max="5" width="16.109375" customWidth="1"/>
    <col min="6" max="6" width="28.109375" customWidth="1"/>
    <col min="7" max="7" width="20.109375" customWidth="1"/>
    <col min="8" max="8" width="24.6640625" customWidth="1"/>
    <col min="9" max="9" width="36.5546875" customWidth="1"/>
    <col min="10" max="10" width="28.6640625" customWidth="1"/>
  </cols>
  <sheetData>
    <row r="1" spans="1:10" ht="21.6" thickBot="1" x14ac:dyDescent="0.45">
      <c r="A1" s="16" t="s">
        <v>6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ht="18.600000000000001" thickBot="1" x14ac:dyDescent="0.4">
      <c r="A2" s="1" t="s">
        <v>0</v>
      </c>
      <c r="B2" s="1" t="s">
        <v>5</v>
      </c>
      <c r="C2" s="1" t="s">
        <v>1</v>
      </c>
      <c r="D2" s="1" t="s">
        <v>2</v>
      </c>
      <c r="E2" s="1" t="s">
        <v>3</v>
      </c>
      <c r="F2" s="1" t="s">
        <v>4</v>
      </c>
      <c r="G2" s="10" t="s">
        <v>84</v>
      </c>
      <c r="H2" s="10" t="s">
        <v>91</v>
      </c>
      <c r="I2" s="10" t="s">
        <v>85</v>
      </c>
      <c r="J2" s="10" t="s">
        <v>86</v>
      </c>
    </row>
    <row r="3" spans="1:10" ht="34.5" customHeight="1" thickBot="1" x14ac:dyDescent="0.35">
      <c r="A3" s="6" t="s">
        <v>82</v>
      </c>
      <c r="B3" s="6"/>
      <c r="C3" s="4" t="s">
        <v>83</v>
      </c>
      <c r="D3" s="2" t="s">
        <v>53</v>
      </c>
      <c r="E3" s="2" t="s">
        <v>105</v>
      </c>
      <c r="F3" s="2" t="s">
        <v>54</v>
      </c>
      <c r="G3" s="13" t="s">
        <v>92</v>
      </c>
      <c r="H3" s="13" t="s">
        <v>89</v>
      </c>
      <c r="I3" s="13" t="s">
        <v>87</v>
      </c>
      <c r="J3" s="13">
        <v>3272010235</v>
      </c>
    </row>
    <row r="4" spans="1:10" ht="16.2" thickBot="1" x14ac:dyDescent="0.35">
      <c r="A4" s="6">
        <v>46208</v>
      </c>
      <c r="B4" s="6" t="s">
        <v>30</v>
      </c>
      <c r="C4" s="4" t="s">
        <v>10</v>
      </c>
      <c r="D4" s="2" t="s">
        <v>11</v>
      </c>
      <c r="E4" s="2" t="s">
        <v>14</v>
      </c>
      <c r="F4" s="2" t="s">
        <v>55</v>
      </c>
      <c r="G4" s="13" t="s">
        <v>90</v>
      </c>
      <c r="H4" s="13" t="s">
        <v>89</v>
      </c>
      <c r="I4" s="13" t="s">
        <v>88</v>
      </c>
      <c r="J4" s="13">
        <v>3408130083</v>
      </c>
    </row>
    <row r="5" spans="1:10" ht="16.2" thickBot="1" x14ac:dyDescent="0.35">
      <c r="A5" s="6">
        <v>46213</v>
      </c>
      <c r="B5" s="6" t="s">
        <v>35</v>
      </c>
      <c r="C5" s="4" t="s">
        <v>7</v>
      </c>
      <c r="D5" s="2" t="s">
        <v>8</v>
      </c>
      <c r="E5" s="2" t="s">
        <v>9</v>
      </c>
      <c r="F5" s="2" t="s">
        <v>56</v>
      </c>
      <c r="G5" s="13" t="s">
        <v>89</v>
      </c>
      <c r="H5" s="13" t="s">
        <v>94</v>
      </c>
      <c r="I5" s="13" t="s">
        <v>88</v>
      </c>
      <c r="J5" s="13">
        <v>3408130083</v>
      </c>
    </row>
    <row r="6" spans="1:10" ht="16.2" thickBot="1" x14ac:dyDescent="0.35">
      <c r="A6" s="6">
        <v>46214</v>
      </c>
      <c r="B6" s="6" t="s">
        <v>29</v>
      </c>
      <c r="C6" s="4" t="s">
        <v>72</v>
      </c>
      <c r="D6" s="2" t="s">
        <v>73</v>
      </c>
      <c r="E6" s="2" t="s">
        <v>37</v>
      </c>
      <c r="F6" s="2" t="s">
        <v>54</v>
      </c>
      <c r="G6" s="13" t="s">
        <v>92</v>
      </c>
      <c r="H6" s="13" t="s">
        <v>92</v>
      </c>
      <c r="I6" s="13" t="s">
        <v>87</v>
      </c>
      <c r="J6" s="13">
        <v>3272010235</v>
      </c>
    </row>
    <row r="7" spans="1:10" ht="16.2" thickBot="1" x14ac:dyDescent="0.35">
      <c r="A7" s="6">
        <v>46220</v>
      </c>
      <c r="B7" s="6" t="s">
        <v>35</v>
      </c>
      <c r="C7" s="4" t="s">
        <v>93</v>
      </c>
      <c r="D7" s="2" t="s">
        <v>49</v>
      </c>
      <c r="E7" s="2" t="s">
        <v>46</v>
      </c>
      <c r="F7" s="2" t="s">
        <v>57</v>
      </c>
      <c r="G7" s="13" t="s">
        <v>89</v>
      </c>
      <c r="H7" s="13" t="s">
        <v>89</v>
      </c>
      <c r="I7" s="13" t="s">
        <v>130</v>
      </c>
      <c r="J7" s="13">
        <v>3478760440</v>
      </c>
    </row>
    <row r="8" spans="1:10" ht="16.2" thickBot="1" x14ac:dyDescent="0.35">
      <c r="A8" s="6">
        <v>46221</v>
      </c>
      <c r="B8" s="6" t="s">
        <v>29</v>
      </c>
      <c r="C8" s="4" t="s">
        <v>95</v>
      </c>
      <c r="D8" s="2" t="s">
        <v>11</v>
      </c>
      <c r="E8" s="2" t="s">
        <v>104</v>
      </c>
      <c r="F8" s="2" t="s">
        <v>55</v>
      </c>
      <c r="G8" s="13" t="s">
        <v>90</v>
      </c>
      <c r="H8" s="13" t="s">
        <v>89</v>
      </c>
      <c r="I8" s="13" t="s">
        <v>88</v>
      </c>
      <c r="J8" s="13">
        <v>3408130083</v>
      </c>
    </row>
    <row r="9" spans="1:10" ht="17.25" customHeight="1" thickBot="1" x14ac:dyDescent="0.35">
      <c r="A9" s="6">
        <v>46222</v>
      </c>
      <c r="B9" s="6" t="s">
        <v>30</v>
      </c>
      <c r="C9" s="4" t="s">
        <v>129</v>
      </c>
      <c r="D9" s="2" t="s">
        <v>8</v>
      </c>
      <c r="E9" s="2" t="s">
        <v>106</v>
      </c>
      <c r="F9" s="2" t="s">
        <v>96</v>
      </c>
      <c r="G9" s="13" t="s">
        <v>89</v>
      </c>
      <c r="H9" s="13" t="s">
        <v>94</v>
      </c>
      <c r="I9" s="13" t="s">
        <v>97</v>
      </c>
      <c r="J9" s="15">
        <v>3451184270</v>
      </c>
    </row>
    <row r="10" spans="1:10" ht="16.5" customHeight="1" thickBot="1" x14ac:dyDescent="0.35">
      <c r="A10" s="6">
        <v>46222</v>
      </c>
      <c r="B10" s="6" t="s">
        <v>30</v>
      </c>
      <c r="C10" s="4" t="s">
        <v>124</v>
      </c>
      <c r="D10" s="2" t="s">
        <v>125</v>
      </c>
      <c r="E10" s="2" t="s">
        <v>46</v>
      </c>
      <c r="F10" s="2" t="s">
        <v>94</v>
      </c>
      <c r="G10" s="13" t="s">
        <v>89</v>
      </c>
      <c r="H10" s="13" t="s">
        <v>89</v>
      </c>
      <c r="I10" s="13" t="s">
        <v>126</v>
      </c>
      <c r="J10" s="13">
        <v>3287488019</v>
      </c>
    </row>
    <row r="11" spans="1:10" ht="16.2" thickBot="1" x14ac:dyDescent="0.35">
      <c r="A11" s="6">
        <v>46225</v>
      </c>
      <c r="B11" s="6" t="s">
        <v>33</v>
      </c>
      <c r="C11" s="4" t="s">
        <v>123</v>
      </c>
      <c r="D11" s="2" t="s">
        <v>49</v>
      </c>
      <c r="E11" s="2" t="s">
        <v>100</v>
      </c>
      <c r="F11" s="2" t="s">
        <v>55</v>
      </c>
      <c r="G11" s="13" t="s">
        <v>89</v>
      </c>
      <c r="H11" s="13" t="s">
        <v>94</v>
      </c>
      <c r="I11" s="13" t="s">
        <v>88</v>
      </c>
      <c r="J11" s="13">
        <v>3408130083</v>
      </c>
    </row>
    <row r="12" spans="1:10" ht="16.2" thickBot="1" x14ac:dyDescent="0.35">
      <c r="A12" s="6">
        <v>46228</v>
      </c>
      <c r="B12" s="6" t="s">
        <v>29</v>
      </c>
      <c r="C12" s="4" t="s">
        <v>28</v>
      </c>
      <c r="D12" s="2" t="s">
        <v>98</v>
      </c>
      <c r="E12" s="2" t="s">
        <v>104</v>
      </c>
      <c r="F12" s="2" t="s">
        <v>58</v>
      </c>
      <c r="G12" s="13" t="s">
        <v>89</v>
      </c>
      <c r="H12" s="13" t="s">
        <v>89</v>
      </c>
      <c r="I12" s="13" t="s">
        <v>99</v>
      </c>
      <c r="J12" s="13">
        <v>3391056040</v>
      </c>
    </row>
    <row r="13" spans="1:10" ht="16.2" thickBot="1" x14ac:dyDescent="0.35">
      <c r="A13" s="6">
        <v>46229</v>
      </c>
      <c r="B13" s="6" t="s">
        <v>30</v>
      </c>
      <c r="C13" s="4" t="s">
        <v>129</v>
      </c>
      <c r="D13" s="2" t="s">
        <v>8</v>
      </c>
      <c r="E13" s="2" t="s">
        <v>106</v>
      </c>
      <c r="F13" s="2" t="s">
        <v>96</v>
      </c>
      <c r="G13" s="13" t="s">
        <v>89</v>
      </c>
      <c r="H13" s="13" t="s">
        <v>94</v>
      </c>
      <c r="I13" s="13" t="s">
        <v>97</v>
      </c>
      <c r="J13" s="13">
        <v>3451184270</v>
      </c>
    </row>
    <row r="14" spans="1:10" ht="16.2" thickBot="1" x14ac:dyDescent="0.35">
      <c r="A14" s="6">
        <v>46235</v>
      </c>
      <c r="B14" s="6" t="s">
        <v>29</v>
      </c>
      <c r="C14" s="4" t="s">
        <v>129</v>
      </c>
      <c r="D14" s="2" t="s">
        <v>8</v>
      </c>
      <c r="E14" s="2" t="s">
        <v>107</v>
      </c>
      <c r="F14" s="2" t="s">
        <v>96</v>
      </c>
      <c r="G14" s="13" t="s">
        <v>89</v>
      </c>
      <c r="H14" s="13" t="s">
        <v>94</v>
      </c>
      <c r="I14" s="13" t="s">
        <v>97</v>
      </c>
      <c r="J14" s="13">
        <v>3451184270</v>
      </c>
    </row>
    <row r="15" spans="1:10" ht="16.2" thickBot="1" x14ac:dyDescent="0.35">
      <c r="A15" s="6">
        <v>46235</v>
      </c>
      <c r="B15" s="6" t="s">
        <v>29</v>
      </c>
      <c r="C15" s="4" t="s">
        <v>81</v>
      </c>
      <c r="D15" s="2" t="s">
        <v>8</v>
      </c>
      <c r="E15" s="2" t="s">
        <v>108</v>
      </c>
      <c r="F15" s="2" t="s">
        <v>80</v>
      </c>
      <c r="G15" s="13" t="s">
        <v>89</v>
      </c>
      <c r="H15" s="13" t="s">
        <v>92</v>
      </c>
      <c r="I15" s="13" t="s">
        <v>101</v>
      </c>
      <c r="J15" s="13">
        <v>3497069516</v>
      </c>
    </row>
    <row r="16" spans="1:10" ht="16.2" thickBot="1" x14ac:dyDescent="0.35">
      <c r="A16" s="6">
        <v>46236</v>
      </c>
      <c r="B16" s="6" t="s">
        <v>30</v>
      </c>
      <c r="C16" s="4" t="s">
        <v>12</v>
      </c>
      <c r="D16" s="2" t="s">
        <v>13</v>
      </c>
      <c r="E16" s="2" t="s">
        <v>14</v>
      </c>
      <c r="F16" s="2" t="s">
        <v>58</v>
      </c>
      <c r="G16" s="13" t="s">
        <v>89</v>
      </c>
      <c r="H16" s="13" t="s">
        <v>89</v>
      </c>
      <c r="I16" s="13" t="s">
        <v>102</v>
      </c>
      <c r="J16" s="13">
        <v>3409677541</v>
      </c>
    </row>
    <row r="17" spans="1:10" ht="16.2" thickBot="1" x14ac:dyDescent="0.35">
      <c r="A17" s="6">
        <v>46240</v>
      </c>
      <c r="B17" s="6" t="s">
        <v>34</v>
      </c>
      <c r="C17" s="7" t="s">
        <v>27</v>
      </c>
      <c r="D17" s="2" t="s">
        <v>11</v>
      </c>
      <c r="E17" s="2" t="s">
        <v>104</v>
      </c>
      <c r="F17" s="2" t="s">
        <v>55</v>
      </c>
      <c r="G17" s="13" t="s">
        <v>90</v>
      </c>
      <c r="H17" s="13" t="s">
        <v>89</v>
      </c>
      <c r="I17" s="13" t="s">
        <v>88</v>
      </c>
      <c r="J17" s="13">
        <v>3408130083</v>
      </c>
    </row>
    <row r="18" spans="1:10" ht="16.2" thickBot="1" x14ac:dyDescent="0.35">
      <c r="A18" s="6">
        <v>46243</v>
      </c>
      <c r="B18" s="6" t="s">
        <v>30</v>
      </c>
      <c r="C18" s="11" t="s">
        <v>103</v>
      </c>
      <c r="D18" s="2" t="s">
        <v>11</v>
      </c>
      <c r="E18" s="2" t="s">
        <v>104</v>
      </c>
      <c r="F18" s="2" t="s">
        <v>55</v>
      </c>
      <c r="G18" s="13" t="s">
        <v>121</v>
      </c>
      <c r="H18" s="13" t="s">
        <v>89</v>
      </c>
      <c r="I18" s="13" t="s">
        <v>88</v>
      </c>
      <c r="J18" s="13">
        <v>3408130083</v>
      </c>
    </row>
    <row r="19" spans="1:10" ht="16.2" thickBot="1" x14ac:dyDescent="0.35">
      <c r="A19" s="6">
        <v>46251</v>
      </c>
      <c r="B19" s="6" t="s">
        <v>31</v>
      </c>
      <c r="C19" s="2" t="s">
        <v>75</v>
      </c>
      <c r="D19" s="2" t="s">
        <v>62</v>
      </c>
      <c r="E19" s="2" t="s">
        <v>17</v>
      </c>
      <c r="F19" s="2" t="s">
        <v>54</v>
      </c>
      <c r="G19" s="13" t="s">
        <v>92</v>
      </c>
      <c r="H19" s="13" t="s">
        <v>92</v>
      </c>
      <c r="I19" s="13" t="s">
        <v>87</v>
      </c>
      <c r="J19" s="13">
        <v>3272010235</v>
      </c>
    </row>
    <row r="20" spans="1:10" ht="16.2" thickBot="1" x14ac:dyDescent="0.35">
      <c r="A20" s="6">
        <v>46252</v>
      </c>
      <c r="B20" s="6" t="s">
        <v>32</v>
      </c>
      <c r="C20" s="4" t="s">
        <v>36</v>
      </c>
      <c r="D20" s="2" t="s">
        <v>8</v>
      </c>
      <c r="E20" s="14" t="s">
        <v>46</v>
      </c>
      <c r="F20" s="2" t="s">
        <v>59</v>
      </c>
      <c r="G20" s="13" t="s">
        <v>89</v>
      </c>
      <c r="H20" s="13" t="s">
        <v>89</v>
      </c>
      <c r="I20" s="13" t="s">
        <v>99</v>
      </c>
      <c r="J20" s="13">
        <v>3391056040</v>
      </c>
    </row>
    <row r="21" spans="1:10" ht="16.2" thickBot="1" x14ac:dyDescent="0.35">
      <c r="A21" s="6">
        <v>46253</v>
      </c>
      <c r="B21" s="6" t="s">
        <v>33</v>
      </c>
      <c r="C21" s="4" t="s">
        <v>36</v>
      </c>
      <c r="D21" s="2" t="s">
        <v>8</v>
      </c>
      <c r="E21" s="14" t="s">
        <v>46</v>
      </c>
      <c r="F21" s="2" t="s">
        <v>59</v>
      </c>
      <c r="G21" s="13" t="s">
        <v>89</v>
      </c>
      <c r="H21" s="13" t="s">
        <v>89</v>
      </c>
      <c r="I21" s="13" t="s">
        <v>99</v>
      </c>
      <c r="J21" s="13">
        <v>3391056040</v>
      </c>
    </row>
    <row r="22" spans="1:10" ht="16.2" thickBot="1" x14ac:dyDescent="0.35">
      <c r="A22" s="6">
        <v>46254</v>
      </c>
      <c r="B22" s="6" t="s">
        <v>34</v>
      </c>
      <c r="C22" s="2" t="s">
        <v>75</v>
      </c>
      <c r="D22" s="2" t="s">
        <v>62</v>
      </c>
      <c r="E22" s="2" t="s">
        <v>17</v>
      </c>
      <c r="F22" s="2" t="s">
        <v>54</v>
      </c>
      <c r="G22" s="13" t="s">
        <v>92</v>
      </c>
      <c r="H22" s="13" t="s">
        <v>92</v>
      </c>
      <c r="I22" s="13" t="s">
        <v>87</v>
      </c>
      <c r="J22" s="13">
        <v>3272010235</v>
      </c>
    </row>
    <row r="23" spans="1:10" ht="16.2" thickBot="1" x14ac:dyDescent="0.35">
      <c r="A23" s="6">
        <v>46255</v>
      </c>
      <c r="B23" s="6" t="s">
        <v>35</v>
      </c>
      <c r="C23" s="4" t="s">
        <v>16</v>
      </c>
      <c r="D23" s="2" t="s">
        <v>15</v>
      </c>
      <c r="E23" s="14" t="s">
        <v>46</v>
      </c>
      <c r="F23" s="2" t="s">
        <v>109</v>
      </c>
      <c r="G23" s="13" t="s">
        <v>89</v>
      </c>
      <c r="H23" s="13" t="s">
        <v>89</v>
      </c>
      <c r="I23" s="13" t="s">
        <v>128</v>
      </c>
      <c r="J23" s="13">
        <v>3358436828</v>
      </c>
    </row>
    <row r="24" spans="1:10" ht="16.2" thickBot="1" x14ac:dyDescent="0.35">
      <c r="A24" s="6">
        <v>46256</v>
      </c>
      <c r="B24" s="6" t="s">
        <v>29</v>
      </c>
      <c r="C24" s="4" t="s">
        <v>16</v>
      </c>
      <c r="D24" s="2" t="s">
        <v>15</v>
      </c>
      <c r="E24" s="14" t="s">
        <v>46</v>
      </c>
      <c r="F24" s="2" t="s">
        <v>109</v>
      </c>
      <c r="G24" s="13" t="s">
        <v>89</v>
      </c>
      <c r="H24" s="13" t="s">
        <v>89</v>
      </c>
      <c r="I24" s="13" t="s">
        <v>128</v>
      </c>
      <c r="J24" s="13">
        <v>3358436828</v>
      </c>
    </row>
    <row r="25" spans="1:10" ht="16.2" thickBot="1" x14ac:dyDescent="0.35">
      <c r="A25" s="6">
        <v>46256</v>
      </c>
      <c r="B25" s="6" t="s">
        <v>29</v>
      </c>
      <c r="C25" s="4" t="s">
        <v>18</v>
      </c>
      <c r="D25" s="2" t="s">
        <v>11</v>
      </c>
      <c r="E25" s="2" t="s">
        <v>46</v>
      </c>
      <c r="F25" s="2" t="s">
        <v>60</v>
      </c>
      <c r="G25" s="13" t="s">
        <v>122</v>
      </c>
      <c r="H25" s="13" t="s">
        <v>89</v>
      </c>
      <c r="I25" s="13" t="s">
        <v>110</v>
      </c>
      <c r="J25" s="13">
        <v>3402832865</v>
      </c>
    </row>
    <row r="26" spans="1:10" ht="16.2" thickBot="1" x14ac:dyDescent="0.35">
      <c r="A26" s="6">
        <v>46257</v>
      </c>
      <c r="B26" s="6" t="s">
        <v>30</v>
      </c>
      <c r="C26" s="4" t="s">
        <v>26</v>
      </c>
      <c r="D26" s="2" t="s">
        <v>8</v>
      </c>
      <c r="E26" s="2" t="s">
        <v>37</v>
      </c>
      <c r="F26" s="2" t="s">
        <v>59</v>
      </c>
      <c r="G26" s="13" t="s">
        <v>89</v>
      </c>
      <c r="H26" s="13" t="s">
        <v>94</v>
      </c>
      <c r="I26" s="13" t="s">
        <v>111</v>
      </c>
      <c r="J26" s="13">
        <v>3391056040</v>
      </c>
    </row>
    <row r="27" spans="1:10" ht="16.2" thickBot="1" x14ac:dyDescent="0.35">
      <c r="A27" s="6">
        <v>46258</v>
      </c>
      <c r="B27" s="6" t="s">
        <v>31</v>
      </c>
      <c r="C27" s="2" t="s">
        <v>76</v>
      </c>
      <c r="D27" s="2" t="s">
        <v>62</v>
      </c>
      <c r="E27" s="2" t="s">
        <v>17</v>
      </c>
      <c r="F27" s="2" t="s">
        <v>77</v>
      </c>
      <c r="G27" s="13" t="s">
        <v>92</v>
      </c>
      <c r="H27" s="13" t="s">
        <v>92</v>
      </c>
      <c r="I27" s="13" t="s">
        <v>112</v>
      </c>
      <c r="J27" s="13" t="s">
        <v>127</v>
      </c>
    </row>
    <row r="28" spans="1:10" ht="16.2" thickBot="1" x14ac:dyDescent="0.35">
      <c r="A28" s="6">
        <v>46259</v>
      </c>
      <c r="B28" s="6" t="s">
        <v>32</v>
      </c>
      <c r="C28" s="2" t="s">
        <v>129</v>
      </c>
      <c r="D28" s="2" t="s">
        <v>8</v>
      </c>
      <c r="E28" s="2" t="s">
        <v>45</v>
      </c>
      <c r="F28" s="2" t="s">
        <v>96</v>
      </c>
      <c r="G28" s="13" t="s">
        <v>89</v>
      </c>
      <c r="H28" s="13" t="s">
        <v>94</v>
      </c>
      <c r="I28" s="13" t="s">
        <v>97</v>
      </c>
      <c r="J28" s="15">
        <v>3451184270</v>
      </c>
    </row>
    <row r="29" spans="1:10" ht="16.2" thickBot="1" x14ac:dyDescent="0.35">
      <c r="A29" s="6">
        <v>46259</v>
      </c>
      <c r="B29" s="6" t="s">
        <v>32</v>
      </c>
      <c r="C29" s="2" t="s">
        <v>76</v>
      </c>
      <c r="D29" s="2" t="s">
        <v>62</v>
      </c>
      <c r="E29" s="2" t="s">
        <v>17</v>
      </c>
      <c r="F29" s="2" t="s">
        <v>77</v>
      </c>
      <c r="G29" s="13" t="s">
        <v>92</v>
      </c>
      <c r="H29" s="13" t="s">
        <v>92</v>
      </c>
      <c r="I29" s="13" t="s">
        <v>112</v>
      </c>
      <c r="J29" s="13" t="s">
        <v>127</v>
      </c>
    </row>
    <row r="30" spans="1:10" ht="16.2" thickBot="1" x14ac:dyDescent="0.35">
      <c r="A30" s="6">
        <v>46260</v>
      </c>
      <c r="B30" s="6" t="s">
        <v>33</v>
      </c>
      <c r="C30" s="2" t="s">
        <v>76</v>
      </c>
      <c r="D30" s="2" t="s">
        <v>62</v>
      </c>
      <c r="E30" s="2" t="s">
        <v>17</v>
      </c>
      <c r="F30" s="2" t="s">
        <v>77</v>
      </c>
      <c r="G30" s="13" t="s">
        <v>92</v>
      </c>
      <c r="H30" s="13" t="s">
        <v>92</v>
      </c>
      <c r="I30" s="13" t="s">
        <v>112</v>
      </c>
      <c r="J30" s="13" t="s">
        <v>127</v>
      </c>
    </row>
    <row r="31" spans="1:10" ht="16.2" thickBot="1" x14ac:dyDescent="0.35">
      <c r="A31" s="6">
        <v>46261</v>
      </c>
      <c r="B31" s="6" t="s">
        <v>34</v>
      </c>
      <c r="C31" s="2" t="s">
        <v>76</v>
      </c>
      <c r="D31" s="2" t="s">
        <v>62</v>
      </c>
      <c r="E31" s="2" t="s">
        <v>17</v>
      </c>
      <c r="F31" s="2" t="s">
        <v>77</v>
      </c>
      <c r="G31" s="13" t="s">
        <v>92</v>
      </c>
      <c r="H31" s="13" t="s">
        <v>92</v>
      </c>
      <c r="I31" s="13" t="s">
        <v>112</v>
      </c>
      <c r="J31" s="13" t="s">
        <v>127</v>
      </c>
    </row>
    <row r="32" spans="1:10" ht="16.2" thickBot="1" x14ac:dyDescent="0.35">
      <c r="A32" s="6">
        <v>46262</v>
      </c>
      <c r="B32" s="6" t="s">
        <v>35</v>
      </c>
      <c r="C32" s="4" t="s">
        <v>19</v>
      </c>
      <c r="D32" s="2" t="s">
        <v>11</v>
      </c>
      <c r="E32" s="14" t="s">
        <v>46</v>
      </c>
      <c r="F32" s="2" t="s">
        <v>61</v>
      </c>
      <c r="G32" s="13" t="s">
        <v>89</v>
      </c>
      <c r="H32" s="13" t="s">
        <v>89</v>
      </c>
      <c r="I32" s="13" t="s">
        <v>113</v>
      </c>
      <c r="J32" s="13">
        <v>3486112007</v>
      </c>
    </row>
    <row r="33" spans="1:10" ht="16.2" thickBot="1" x14ac:dyDescent="0.35">
      <c r="A33" s="6">
        <v>46263</v>
      </c>
      <c r="B33" s="6" t="s">
        <v>29</v>
      </c>
      <c r="C33" s="4" t="s">
        <v>20</v>
      </c>
      <c r="D33" s="2" t="s">
        <v>8</v>
      </c>
      <c r="E33" s="14" t="s">
        <v>17</v>
      </c>
      <c r="F33" s="2" t="s">
        <v>59</v>
      </c>
      <c r="G33" s="13" t="s">
        <v>89</v>
      </c>
      <c r="H33" s="13" t="s">
        <v>89</v>
      </c>
      <c r="I33" s="13" t="s">
        <v>111</v>
      </c>
      <c r="J33" s="13">
        <v>3391056040</v>
      </c>
    </row>
    <row r="34" spans="1:10" ht="16.2" thickBot="1" x14ac:dyDescent="0.35">
      <c r="A34" s="6">
        <v>46264</v>
      </c>
      <c r="B34" s="6" t="s">
        <v>30</v>
      </c>
      <c r="C34" s="4" t="s">
        <v>20</v>
      </c>
      <c r="D34" s="2" t="s">
        <v>8</v>
      </c>
      <c r="E34" s="14" t="s">
        <v>17</v>
      </c>
      <c r="F34" s="2" t="s">
        <v>59</v>
      </c>
      <c r="G34" s="13" t="s">
        <v>89</v>
      </c>
      <c r="H34" s="13" t="s">
        <v>89</v>
      </c>
      <c r="I34" s="13" t="s">
        <v>111</v>
      </c>
      <c r="J34" s="13">
        <v>3391056040</v>
      </c>
    </row>
    <row r="35" spans="1:10" ht="16.2" thickBot="1" x14ac:dyDescent="0.35">
      <c r="A35" s="6">
        <v>46265</v>
      </c>
      <c r="B35" s="6" t="s">
        <v>31</v>
      </c>
      <c r="C35" s="2" t="s">
        <v>76</v>
      </c>
      <c r="D35" s="2" t="s">
        <v>62</v>
      </c>
      <c r="E35" s="2" t="s">
        <v>17</v>
      </c>
      <c r="F35" s="2" t="s">
        <v>77</v>
      </c>
      <c r="G35" s="13" t="s">
        <v>92</v>
      </c>
      <c r="H35" s="13" t="s">
        <v>92</v>
      </c>
      <c r="I35" s="13" t="s">
        <v>112</v>
      </c>
      <c r="J35" s="13" t="s">
        <v>127</v>
      </c>
    </row>
    <row r="36" spans="1:10" ht="16.2" thickBot="1" x14ac:dyDescent="0.35">
      <c r="A36" s="6">
        <v>46266</v>
      </c>
      <c r="B36" s="6" t="s">
        <v>32</v>
      </c>
      <c r="C36" s="4" t="s">
        <v>114</v>
      </c>
      <c r="D36" s="2" t="s">
        <v>62</v>
      </c>
      <c r="E36" s="2" t="s">
        <v>17</v>
      </c>
      <c r="F36" s="2" t="s">
        <v>77</v>
      </c>
      <c r="G36" s="13" t="s">
        <v>89</v>
      </c>
      <c r="H36" s="13" t="s">
        <v>92</v>
      </c>
      <c r="I36" s="13" t="s">
        <v>112</v>
      </c>
      <c r="J36" s="13" t="s">
        <v>127</v>
      </c>
    </row>
    <row r="37" spans="1:10" ht="16.2" thickBot="1" x14ac:dyDescent="0.35">
      <c r="A37" s="6">
        <v>46267</v>
      </c>
      <c r="B37" s="6" t="s">
        <v>33</v>
      </c>
      <c r="C37" s="4" t="s">
        <v>50</v>
      </c>
      <c r="D37" s="2" t="s">
        <v>11</v>
      </c>
      <c r="E37" s="2" t="s">
        <v>46</v>
      </c>
      <c r="F37" s="2" t="s">
        <v>55</v>
      </c>
      <c r="G37" s="13" t="s">
        <v>90</v>
      </c>
      <c r="H37" s="13" t="s">
        <v>89</v>
      </c>
      <c r="I37" s="13" t="s">
        <v>88</v>
      </c>
      <c r="J37" s="13">
        <v>3408130083</v>
      </c>
    </row>
    <row r="38" spans="1:10" ht="16.2" thickBot="1" x14ac:dyDescent="0.35">
      <c r="A38" s="6">
        <v>46268</v>
      </c>
      <c r="B38" s="6" t="s">
        <v>34</v>
      </c>
      <c r="C38" s="4" t="s">
        <v>21</v>
      </c>
      <c r="D38" s="2" t="s">
        <v>22</v>
      </c>
      <c r="E38" s="2" t="s">
        <v>17</v>
      </c>
      <c r="F38" s="2" t="s">
        <v>54</v>
      </c>
      <c r="G38" s="13" t="s">
        <v>89</v>
      </c>
      <c r="H38" s="13" t="s">
        <v>89</v>
      </c>
      <c r="I38" s="13" t="s">
        <v>87</v>
      </c>
      <c r="J38" s="13">
        <v>3272010235</v>
      </c>
    </row>
    <row r="39" spans="1:10" ht="16.2" thickBot="1" x14ac:dyDescent="0.35">
      <c r="A39" s="6">
        <v>46269</v>
      </c>
      <c r="B39" s="6" t="s">
        <v>35</v>
      </c>
      <c r="C39" s="4" t="s">
        <v>21</v>
      </c>
      <c r="D39" s="2" t="s">
        <v>22</v>
      </c>
      <c r="E39" s="2" t="s">
        <v>17</v>
      </c>
      <c r="F39" s="2" t="s">
        <v>54</v>
      </c>
      <c r="G39" s="13" t="s">
        <v>89</v>
      </c>
      <c r="H39" s="13" t="s">
        <v>89</v>
      </c>
      <c r="I39" s="13" t="s">
        <v>87</v>
      </c>
      <c r="J39" s="13">
        <v>3272010235</v>
      </c>
    </row>
    <row r="40" spans="1:10" ht="16.2" thickBot="1" x14ac:dyDescent="0.35">
      <c r="A40" s="6">
        <v>46270</v>
      </c>
      <c r="B40" s="6" t="s">
        <v>29</v>
      </c>
      <c r="C40" s="4" t="s">
        <v>78</v>
      </c>
      <c r="D40" s="2" t="s">
        <v>13</v>
      </c>
      <c r="E40" s="2" t="s">
        <v>74</v>
      </c>
      <c r="F40" s="2" t="s">
        <v>55</v>
      </c>
      <c r="G40" s="12" t="s">
        <v>89</v>
      </c>
      <c r="H40" s="12" t="s">
        <v>89</v>
      </c>
      <c r="I40" s="13" t="s">
        <v>88</v>
      </c>
      <c r="J40" s="13">
        <v>3408130083</v>
      </c>
    </row>
    <row r="41" spans="1:10" ht="16.2" thickBot="1" x14ac:dyDescent="0.35">
      <c r="A41" s="6">
        <v>46270</v>
      </c>
      <c r="B41" s="6" t="s">
        <v>29</v>
      </c>
      <c r="C41" s="4" t="s">
        <v>79</v>
      </c>
      <c r="D41" s="2" t="s">
        <v>13</v>
      </c>
      <c r="E41" s="2" t="s">
        <v>74</v>
      </c>
      <c r="F41" s="2" t="s">
        <v>80</v>
      </c>
      <c r="G41" s="12" t="s">
        <v>89</v>
      </c>
      <c r="H41" s="12" t="s">
        <v>92</v>
      </c>
      <c r="I41" s="13" t="s">
        <v>101</v>
      </c>
      <c r="J41" s="13">
        <v>3497069516</v>
      </c>
    </row>
    <row r="42" spans="1:10" ht="16.2" thickBot="1" x14ac:dyDescent="0.35">
      <c r="A42" s="6">
        <v>46271</v>
      </c>
      <c r="B42" s="6" t="s">
        <v>30</v>
      </c>
      <c r="C42" s="4" t="s">
        <v>120</v>
      </c>
      <c r="D42" s="2" t="s">
        <v>11</v>
      </c>
      <c r="E42" s="2" t="s">
        <v>46</v>
      </c>
      <c r="F42" s="2" t="s">
        <v>55</v>
      </c>
      <c r="G42" s="13" t="s">
        <v>90</v>
      </c>
      <c r="H42" s="13" t="s">
        <v>89</v>
      </c>
      <c r="I42" s="13" t="s">
        <v>88</v>
      </c>
      <c r="J42" s="13">
        <v>3408130083</v>
      </c>
    </row>
    <row r="43" spans="1:10" ht="16.2" thickBot="1" x14ac:dyDescent="0.35">
      <c r="A43" s="6">
        <v>46272</v>
      </c>
      <c r="B43" s="6" t="s">
        <v>31</v>
      </c>
      <c r="C43" s="4" t="s">
        <v>23</v>
      </c>
      <c r="D43" s="2" t="s">
        <v>8</v>
      </c>
      <c r="E43" s="2"/>
      <c r="F43" s="2" t="s">
        <v>115</v>
      </c>
      <c r="G43" s="13" t="s">
        <v>89</v>
      </c>
      <c r="H43" s="13" t="s">
        <v>89</v>
      </c>
      <c r="I43" s="13" t="s">
        <v>116</v>
      </c>
      <c r="J43" s="13">
        <v>3295424488</v>
      </c>
    </row>
    <row r="44" spans="1:10" ht="16.2" thickBot="1" x14ac:dyDescent="0.35">
      <c r="A44" s="6">
        <v>46273</v>
      </c>
      <c r="B44" s="6" t="s">
        <v>32</v>
      </c>
      <c r="C44" s="4" t="s">
        <v>23</v>
      </c>
      <c r="D44" s="2" t="s">
        <v>8</v>
      </c>
      <c r="E44" s="2"/>
      <c r="F44" s="2" t="s">
        <v>115</v>
      </c>
      <c r="G44" s="13" t="s">
        <v>89</v>
      </c>
      <c r="H44" s="13" t="s">
        <v>89</v>
      </c>
      <c r="I44" s="13" t="s">
        <v>116</v>
      </c>
      <c r="J44" s="13">
        <v>3295424488</v>
      </c>
    </row>
    <row r="45" spans="1:10" ht="16.2" thickBot="1" x14ac:dyDescent="0.35">
      <c r="A45" s="6">
        <v>46275</v>
      </c>
      <c r="B45" s="6" t="s">
        <v>34</v>
      </c>
      <c r="C45" s="4" t="s">
        <v>24</v>
      </c>
      <c r="D45" s="2" t="s">
        <v>25</v>
      </c>
      <c r="E45" s="14" t="s">
        <v>107</v>
      </c>
      <c r="F45" s="2" t="s">
        <v>63</v>
      </c>
      <c r="G45" s="13" t="s">
        <v>89</v>
      </c>
      <c r="H45" s="13" t="s">
        <v>92</v>
      </c>
      <c r="I45" s="13" t="s">
        <v>117</v>
      </c>
      <c r="J45" s="13">
        <v>3349822030</v>
      </c>
    </row>
    <row r="46" spans="1:10" ht="16.2" thickBot="1" x14ac:dyDescent="0.35">
      <c r="A46" s="6">
        <v>46276</v>
      </c>
      <c r="B46" s="6" t="s">
        <v>35</v>
      </c>
      <c r="C46" s="4" t="s">
        <v>24</v>
      </c>
      <c r="D46" s="2" t="s">
        <v>25</v>
      </c>
      <c r="E46" s="14" t="s">
        <v>107</v>
      </c>
      <c r="F46" s="2" t="s">
        <v>63</v>
      </c>
      <c r="G46" s="13" t="s">
        <v>89</v>
      </c>
      <c r="H46" s="13" t="s">
        <v>92</v>
      </c>
      <c r="I46" s="13" t="s">
        <v>117</v>
      </c>
      <c r="J46" s="13">
        <v>3349822030</v>
      </c>
    </row>
    <row r="47" spans="1:10" ht="16.2" thickBot="1" x14ac:dyDescent="0.35">
      <c r="A47" s="6">
        <v>46277</v>
      </c>
      <c r="B47" s="6" t="s">
        <v>29</v>
      </c>
      <c r="C47" s="4" t="s">
        <v>24</v>
      </c>
      <c r="D47" s="2" t="s">
        <v>25</v>
      </c>
      <c r="E47" s="14" t="s">
        <v>107</v>
      </c>
      <c r="F47" s="5" t="s">
        <v>63</v>
      </c>
      <c r="G47" s="13" t="s">
        <v>89</v>
      </c>
      <c r="H47" s="13" t="s">
        <v>92</v>
      </c>
      <c r="I47" s="13" t="s">
        <v>117</v>
      </c>
      <c r="J47" s="13">
        <v>3349822030</v>
      </c>
    </row>
    <row r="48" spans="1:10" ht="15.75" customHeight="1" thickBot="1" x14ac:dyDescent="0.35">
      <c r="A48" s="6">
        <v>46278</v>
      </c>
      <c r="B48" s="6" t="s">
        <v>30</v>
      </c>
      <c r="C48" s="4" t="s">
        <v>24</v>
      </c>
      <c r="D48" s="2" t="s">
        <v>25</v>
      </c>
      <c r="E48" s="14" t="s">
        <v>45</v>
      </c>
      <c r="F48" s="5" t="s">
        <v>63</v>
      </c>
      <c r="G48" s="13" t="s">
        <v>89</v>
      </c>
      <c r="H48" s="13" t="s">
        <v>92</v>
      </c>
      <c r="I48" s="13" t="s">
        <v>117</v>
      </c>
      <c r="J48" s="13">
        <v>3349822030</v>
      </c>
    </row>
    <row r="49" spans="1:10" ht="16.2" thickBot="1" x14ac:dyDescent="0.35">
      <c r="A49" s="6">
        <v>46285</v>
      </c>
      <c r="B49" s="6" t="s">
        <v>30</v>
      </c>
      <c r="C49" s="4" t="s">
        <v>70</v>
      </c>
      <c r="D49" s="2" t="s">
        <v>71</v>
      </c>
      <c r="E49" s="14" t="s">
        <v>37</v>
      </c>
      <c r="F49" s="5" t="s">
        <v>54</v>
      </c>
      <c r="G49" s="13" t="s">
        <v>89</v>
      </c>
      <c r="H49" s="13" t="s">
        <v>92</v>
      </c>
      <c r="I49" s="13" t="s">
        <v>87</v>
      </c>
      <c r="J49" s="13">
        <v>3272010235</v>
      </c>
    </row>
    <row r="50" spans="1:10" ht="16.2" thickBot="1" x14ac:dyDescent="0.35">
      <c r="A50" s="6">
        <v>46290</v>
      </c>
      <c r="B50" s="6" t="s">
        <v>35</v>
      </c>
      <c r="C50" s="4" t="s">
        <v>118</v>
      </c>
      <c r="D50" s="2" t="s">
        <v>11</v>
      </c>
      <c r="E50" s="14" t="s">
        <v>107</v>
      </c>
      <c r="F50" s="5" t="s">
        <v>119</v>
      </c>
      <c r="G50" s="13" t="s">
        <v>89</v>
      </c>
      <c r="H50" s="13" t="s">
        <v>89</v>
      </c>
      <c r="I50" s="13" t="s">
        <v>88</v>
      </c>
      <c r="J50" s="13">
        <v>3408130083</v>
      </c>
    </row>
    <row r="51" spans="1:10" ht="16.2" thickBot="1" x14ac:dyDescent="0.35">
      <c r="A51" s="6">
        <v>46291</v>
      </c>
      <c r="B51" s="6" t="s">
        <v>29</v>
      </c>
      <c r="C51" s="4" t="s">
        <v>118</v>
      </c>
      <c r="D51" s="2" t="s">
        <v>71</v>
      </c>
      <c r="E51" s="14" t="s">
        <v>107</v>
      </c>
      <c r="F51" s="5" t="s">
        <v>119</v>
      </c>
      <c r="G51" s="13" t="s">
        <v>89</v>
      </c>
      <c r="H51" s="13" t="s">
        <v>89</v>
      </c>
      <c r="I51" s="13" t="s">
        <v>88</v>
      </c>
      <c r="J51" s="13">
        <v>3408130083</v>
      </c>
    </row>
    <row r="52" spans="1:10" ht="16.2" thickBot="1" x14ac:dyDescent="0.35">
      <c r="A52" s="6">
        <v>46292</v>
      </c>
      <c r="B52" s="6" t="s">
        <v>30</v>
      </c>
      <c r="C52" s="3" t="s">
        <v>118</v>
      </c>
      <c r="D52" s="2" t="s">
        <v>71</v>
      </c>
      <c r="E52" s="14" t="s">
        <v>37</v>
      </c>
      <c r="F52" s="5" t="s">
        <v>119</v>
      </c>
      <c r="G52" s="13" t="s">
        <v>89</v>
      </c>
      <c r="H52" s="13" t="s">
        <v>89</v>
      </c>
      <c r="I52" s="13" t="s">
        <v>88</v>
      </c>
      <c r="J52" s="13">
        <v>3408130083</v>
      </c>
    </row>
  </sheetData>
  <mergeCells count="1">
    <mergeCell ref="A1:J1"/>
  </mergeCells>
  <pageMargins left="0.23622047244094491" right="0.23622047244094491" top="0.55118110236220474" bottom="0.55118110236220474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C5D5-F573-45A3-8CE6-7EE3119EE4C4}">
  <dimension ref="A1:G21"/>
  <sheetViews>
    <sheetView workbookViewId="0">
      <selection activeCell="K8" sqref="K8"/>
    </sheetView>
  </sheetViews>
  <sheetFormatPr defaultRowHeight="14.4" x14ac:dyDescent="0.3"/>
  <cols>
    <col min="1" max="1" width="18.5546875" customWidth="1"/>
    <col min="2" max="2" width="21.6640625" customWidth="1"/>
    <col min="6" max="6" width="21.44140625" customWidth="1"/>
  </cols>
  <sheetData>
    <row r="1" spans="1:7" x14ac:dyDescent="0.3">
      <c r="A1" s="9">
        <v>46208</v>
      </c>
      <c r="B1" s="8" t="s">
        <v>38</v>
      </c>
      <c r="C1" s="8">
        <v>1550</v>
      </c>
      <c r="D1" s="8"/>
      <c r="F1" s="8" t="s">
        <v>48</v>
      </c>
      <c r="G1" s="8">
        <v>235</v>
      </c>
    </row>
    <row r="2" spans="1:7" x14ac:dyDescent="0.3">
      <c r="A2" s="9">
        <v>46240</v>
      </c>
      <c r="B2" s="8" t="s">
        <v>27</v>
      </c>
      <c r="C2" s="8">
        <v>3300</v>
      </c>
      <c r="D2" s="8"/>
      <c r="F2" s="8" t="s">
        <v>50</v>
      </c>
      <c r="G2" s="8">
        <v>120</v>
      </c>
    </row>
    <row r="3" spans="1:7" x14ac:dyDescent="0.3">
      <c r="A3" s="9">
        <v>46272</v>
      </c>
      <c r="B3" s="8" t="s">
        <v>39</v>
      </c>
      <c r="C3" s="8">
        <v>5500</v>
      </c>
      <c r="D3" s="8"/>
      <c r="F3" s="8" t="s">
        <v>51</v>
      </c>
      <c r="G3" s="8">
        <v>720</v>
      </c>
    </row>
    <row r="4" spans="1:7" x14ac:dyDescent="0.3">
      <c r="A4" s="8"/>
      <c r="B4" s="8" t="s">
        <v>40</v>
      </c>
      <c r="C4" s="8">
        <v>1700</v>
      </c>
      <c r="D4" s="8"/>
      <c r="F4" s="8" t="s">
        <v>39</v>
      </c>
      <c r="G4" s="8">
        <v>550</v>
      </c>
    </row>
    <row r="5" spans="1:7" x14ac:dyDescent="0.3">
      <c r="A5" s="8"/>
      <c r="B5" s="8" t="s">
        <v>41</v>
      </c>
      <c r="C5" s="8">
        <v>2000</v>
      </c>
      <c r="D5" s="8"/>
      <c r="F5" s="8"/>
      <c r="G5" s="8"/>
    </row>
    <row r="6" spans="1:7" x14ac:dyDescent="0.3">
      <c r="A6" s="8"/>
      <c r="B6" s="8" t="s">
        <v>42</v>
      </c>
      <c r="C6" s="8">
        <v>800</v>
      </c>
      <c r="D6" s="8"/>
      <c r="F6" s="8"/>
      <c r="G6" s="8">
        <f>SUM(G1:G5)</f>
        <v>1625</v>
      </c>
    </row>
    <row r="7" spans="1:7" x14ac:dyDescent="0.3">
      <c r="A7" s="8"/>
      <c r="B7" s="8" t="s">
        <v>43</v>
      </c>
      <c r="C7" s="8">
        <v>13750</v>
      </c>
      <c r="D7" s="8"/>
      <c r="F7" s="8"/>
      <c r="G7" s="8"/>
    </row>
    <row r="8" spans="1:7" x14ac:dyDescent="0.3">
      <c r="A8" s="8"/>
      <c r="B8" s="8" t="s">
        <v>47</v>
      </c>
      <c r="C8" s="8">
        <v>7150</v>
      </c>
      <c r="D8" s="8"/>
      <c r="F8" s="8"/>
      <c r="G8" s="8"/>
    </row>
    <row r="9" spans="1:7" x14ac:dyDescent="0.3">
      <c r="A9" s="8"/>
      <c r="B9" s="8"/>
      <c r="C9" s="8"/>
      <c r="D9" s="8"/>
      <c r="F9" s="8"/>
      <c r="G9" s="8"/>
    </row>
    <row r="10" spans="1:7" x14ac:dyDescent="0.3">
      <c r="A10" s="8"/>
      <c r="B10" s="8"/>
      <c r="C10" s="8"/>
      <c r="D10" s="8"/>
      <c r="F10" s="8"/>
      <c r="G10" s="8"/>
    </row>
    <row r="11" spans="1:7" x14ac:dyDescent="0.3">
      <c r="A11" s="8"/>
      <c r="B11" s="8" t="s">
        <v>64</v>
      </c>
      <c r="C11" s="8">
        <f>SUM(C1:C10)</f>
        <v>35750</v>
      </c>
      <c r="D11" s="8"/>
      <c r="F11" s="8"/>
      <c r="G11" s="8"/>
    </row>
    <row r="12" spans="1:7" x14ac:dyDescent="0.3">
      <c r="A12" s="8"/>
      <c r="B12" s="8"/>
      <c r="C12" s="8"/>
      <c r="D12" s="8"/>
      <c r="F12" s="8"/>
      <c r="G12" s="8"/>
    </row>
    <row r="13" spans="1:7" x14ac:dyDescent="0.3">
      <c r="A13" s="8" t="s">
        <v>44</v>
      </c>
      <c r="B13" s="8"/>
      <c r="C13" s="8"/>
      <c r="D13" s="8"/>
      <c r="F13" s="8"/>
      <c r="G13" s="8"/>
    </row>
    <row r="14" spans="1:7" x14ac:dyDescent="0.3">
      <c r="A14" s="8"/>
      <c r="B14" s="8" t="s">
        <v>67</v>
      </c>
      <c r="C14" s="8">
        <v>4500</v>
      </c>
      <c r="D14" s="8"/>
      <c r="F14" s="8" t="s">
        <v>44</v>
      </c>
      <c r="G14" s="8">
        <v>41500</v>
      </c>
    </row>
    <row r="15" spans="1:7" x14ac:dyDescent="0.3">
      <c r="A15" s="8"/>
      <c r="B15" s="8" t="s">
        <v>66</v>
      </c>
      <c r="C15" s="8">
        <v>14000</v>
      </c>
      <c r="D15" s="8"/>
      <c r="F15" s="8" t="s">
        <v>64</v>
      </c>
      <c r="G15" s="8">
        <v>35750</v>
      </c>
    </row>
    <row r="16" spans="1:7" x14ac:dyDescent="0.3">
      <c r="A16" s="8"/>
      <c r="B16" s="8" t="s">
        <v>68</v>
      </c>
      <c r="C16" s="8">
        <v>5000</v>
      </c>
      <c r="D16" s="8"/>
      <c r="F16" s="8" t="s">
        <v>69</v>
      </c>
      <c r="G16" s="8">
        <v>5750</v>
      </c>
    </row>
    <row r="17" spans="1:7" x14ac:dyDescent="0.3">
      <c r="A17" s="8"/>
      <c r="B17" s="8" t="s">
        <v>65</v>
      </c>
      <c r="C17" s="8">
        <v>10000</v>
      </c>
      <c r="D17" s="8"/>
      <c r="F17" s="8"/>
      <c r="G17" s="8"/>
    </row>
    <row r="18" spans="1:7" x14ac:dyDescent="0.3">
      <c r="A18" s="8"/>
      <c r="B18" s="8" t="s">
        <v>52</v>
      </c>
      <c r="C18" s="8">
        <v>8000</v>
      </c>
      <c r="D18" s="8"/>
      <c r="F18" s="8"/>
      <c r="G18" s="8"/>
    </row>
    <row r="19" spans="1:7" x14ac:dyDescent="0.3">
      <c r="A19" s="8"/>
      <c r="B19" s="8"/>
      <c r="C19" s="8"/>
      <c r="D19" s="8"/>
      <c r="F19" s="8"/>
      <c r="G19" s="8"/>
    </row>
    <row r="20" spans="1:7" x14ac:dyDescent="0.3">
      <c r="A20" s="8"/>
      <c r="B20" s="8"/>
      <c r="C20" s="8">
        <f>SUM(C14:C19)</f>
        <v>41500</v>
      </c>
      <c r="D20" s="8"/>
      <c r="F20" s="8"/>
      <c r="G20" s="8"/>
    </row>
    <row r="21" spans="1:7" x14ac:dyDescent="0.3">
      <c r="A21" s="8"/>
      <c r="B21" s="8"/>
      <c r="C21" s="8"/>
      <c r="D21" s="8"/>
      <c r="F21" s="8"/>
      <c r="G21" s="8"/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8A977-AC64-4732-8734-99D018D63B5C}">
  <dimension ref="A1:F43"/>
  <sheetViews>
    <sheetView tabSelected="1" topLeftCell="A27" zoomScale="90" workbookViewId="0">
      <selection activeCell="F35" sqref="F35"/>
    </sheetView>
  </sheetViews>
  <sheetFormatPr defaultRowHeight="14.4" x14ac:dyDescent="0.3"/>
  <cols>
    <col min="1" max="1" width="25.44140625" customWidth="1"/>
    <col min="2" max="2" width="20.21875" customWidth="1"/>
    <col min="3" max="3" width="29.77734375" customWidth="1"/>
    <col min="4" max="4" width="29.44140625" customWidth="1"/>
    <col min="5" max="5" width="31.77734375" customWidth="1"/>
    <col min="6" max="6" width="18.5546875" customWidth="1"/>
  </cols>
  <sheetData>
    <row r="1" spans="1:6" ht="18.600000000000001" thickBot="1" x14ac:dyDescent="0.35">
      <c r="A1" s="1" t="s">
        <v>0</v>
      </c>
      <c r="B1" s="1" t="s">
        <v>5</v>
      </c>
      <c r="C1" s="1" t="s">
        <v>1</v>
      </c>
      <c r="D1" s="1" t="s">
        <v>131</v>
      </c>
      <c r="E1" s="1" t="s">
        <v>2</v>
      </c>
      <c r="F1" s="1" t="s">
        <v>3</v>
      </c>
    </row>
    <row r="2" spans="1:6" ht="16.2" thickBot="1" x14ac:dyDescent="0.35">
      <c r="A2" s="30">
        <v>46208</v>
      </c>
      <c r="B2" s="30" t="s">
        <v>30</v>
      </c>
      <c r="C2" s="4" t="s">
        <v>10</v>
      </c>
      <c r="D2" s="4" t="s">
        <v>135</v>
      </c>
      <c r="E2" s="4" t="s">
        <v>132</v>
      </c>
      <c r="F2" s="4" t="s">
        <v>104</v>
      </c>
    </row>
    <row r="3" spans="1:6" ht="31.8" thickBot="1" x14ac:dyDescent="0.35">
      <c r="A3" s="30">
        <v>46213</v>
      </c>
      <c r="B3" s="30" t="s">
        <v>35</v>
      </c>
      <c r="C3" s="4" t="s">
        <v>136</v>
      </c>
      <c r="D3" s="4" t="s">
        <v>137</v>
      </c>
      <c r="E3" s="4" t="s">
        <v>141</v>
      </c>
      <c r="F3" s="4" t="s">
        <v>9</v>
      </c>
    </row>
    <row r="4" spans="1:6" ht="47.4" thickBot="1" x14ac:dyDescent="0.35">
      <c r="A4" s="30">
        <v>46220</v>
      </c>
      <c r="B4" s="30" t="s">
        <v>35</v>
      </c>
      <c r="C4" s="4" t="s">
        <v>93</v>
      </c>
      <c r="D4" s="4" t="s">
        <v>138</v>
      </c>
      <c r="E4" s="4" t="s">
        <v>139</v>
      </c>
      <c r="F4" s="4" t="s">
        <v>46</v>
      </c>
    </row>
    <row r="5" spans="1:6" ht="47.4" customHeight="1" thickBot="1" x14ac:dyDescent="0.35">
      <c r="A5" s="30">
        <v>46221</v>
      </c>
      <c r="B5" s="30" t="s">
        <v>29</v>
      </c>
      <c r="C5" s="34" t="s">
        <v>140</v>
      </c>
      <c r="D5" s="35"/>
      <c r="E5" s="4" t="s">
        <v>141</v>
      </c>
      <c r="F5" s="4" t="s">
        <v>104</v>
      </c>
    </row>
    <row r="6" spans="1:6" ht="16.2" thickBot="1" x14ac:dyDescent="0.35">
      <c r="A6" s="20">
        <v>46222</v>
      </c>
      <c r="B6" s="22" t="s">
        <v>30</v>
      </c>
      <c r="C6" s="4" t="s">
        <v>147</v>
      </c>
      <c r="D6" s="4" t="s">
        <v>148</v>
      </c>
      <c r="E6" s="4" t="s">
        <v>133</v>
      </c>
      <c r="F6" s="4" t="s">
        <v>106</v>
      </c>
    </row>
    <row r="7" spans="1:6" ht="16.2" thickBot="1" x14ac:dyDescent="0.35">
      <c r="A7" s="21"/>
      <c r="B7" s="23"/>
      <c r="C7" s="2" t="s">
        <v>124</v>
      </c>
      <c r="D7" s="4"/>
      <c r="E7" s="2" t="s">
        <v>125</v>
      </c>
      <c r="F7" s="2" t="s">
        <v>46</v>
      </c>
    </row>
    <row r="8" spans="1:6" ht="47.4" thickBot="1" x14ac:dyDescent="0.35">
      <c r="A8" s="6">
        <v>46225</v>
      </c>
      <c r="B8" s="6" t="s">
        <v>33</v>
      </c>
      <c r="C8" s="4" t="s">
        <v>142</v>
      </c>
      <c r="D8" s="4" t="s">
        <v>143</v>
      </c>
      <c r="E8" s="2" t="s">
        <v>49</v>
      </c>
      <c r="F8" s="2" t="s">
        <v>100</v>
      </c>
    </row>
    <row r="9" spans="1:6" ht="47.4" thickBot="1" x14ac:dyDescent="0.35">
      <c r="A9" s="6">
        <v>46228</v>
      </c>
      <c r="B9" s="6" t="s">
        <v>29</v>
      </c>
      <c r="C9" s="4" t="s">
        <v>144</v>
      </c>
      <c r="D9" s="4" t="s">
        <v>145</v>
      </c>
      <c r="E9" s="4" t="s">
        <v>146</v>
      </c>
      <c r="F9" s="4" t="s">
        <v>46</v>
      </c>
    </row>
    <row r="10" spans="1:6" ht="31.8" thickBot="1" x14ac:dyDescent="0.35">
      <c r="A10" s="6">
        <v>46229</v>
      </c>
      <c r="B10" s="6" t="s">
        <v>30</v>
      </c>
      <c r="C10" s="4" t="s">
        <v>147</v>
      </c>
      <c r="D10" s="4" t="s">
        <v>148</v>
      </c>
      <c r="E10" s="4" t="s">
        <v>133</v>
      </c>
      <c r="F10" s="4" t="s">
        <v>106</v>
      </c>
    </row>
    <row r="11" spans="1:6" ht="63" thickBot="1" x14ac:dyDescent="0.35">
      <c r="A11" s="19">
        <v>46234</v>
      </c>
      <c r="B11" s="19" t="s">
        <v>35</v>
      </c>
      <c r="C11" s="4" t="s">
        <v>149</v>
      </c>
      <c r="D11" s="4" t="s">
        <v>150</v>
      </c>
      <c r="E11" s="4" t="s">
        <v>133</v>
      </c>
      <c r="F11" s="4" t="s">
        <v>151</v>
      </c>
    </row>
    <row r="12" spans="1:6" ht="16.2" thickBot="1" x14ac:dyDescent="0.35">
      <c r="A12" s="20">
        <v>46235</v>
      </c>
      <c r="B12" s="22" t="s">
        <v>29</v>
      </c>
      <c r="C12" s="34" t="s">
        <v>152</v>
      </c>
      <c r="D12" s="35"/>
      <c r="E12" s="26" t="s">
        <v>133</v>
      </c>
      <c r="F12" s="4" t="s">
        <v>153</v>
      </c>
    </row>
    <row r="13" spans="1:6" ht="16.2" thickBot="1" x14ac:dyDescent="0.35">
      <c r="A13" s="21"/>
      <c r="B13" s="23"/>
      <c r="C13" s="4" t="s">
        <v>147</v>
      </c>
      <c r="D13" s="4" t="s">
        <v>148</v>
      </c>
      <c r="E13" s="27"/>
      <c r="F13" s="4" t="s">
        <v>107</v>
      </c>
    </row>
    <row r="14" spans="1:6" ht="47.4" thickBot="1" x14ac:dyDescent="0.35">
      <c r="A14" s="6">
        <v>46236</v>
      </c>
      <c r="B14" s="6" t="s">
        <v>30</v>
      </c>
      <c r="C14" s="4" t="s">
        <v>12</v>
      </c>
      <c r="D14" s="4" t="s">
        <v>154</v>
      </c>
      <c r="E14" s="4" t="s">
        <v>155</v>
      </c>
      <c r="F14" s="4" t="s">
        <v>153</v>
      </c>
    </row>
    <row r="15" spans="1:6" ht="47.4" thickBot="1" x14ac:dyDescent="0.35">
      <c r="A15" s="6">
        <v>46240</v>
      </c>
      <c r="B15" s="6" t="s">
        <v>34</v>
      </c>
      <c r="C15" s="7" t="s">
        <v>156</v>
      </c>
      <c r="D15" s="7" t="s">
        <v>157</v>
      </c>
      <c r="E15" s="4" t="s">
        <v>141</v>
      </c>
      <c r="F15" s="4" t="s">
        <v>104</v>
      </c>
    </row>
    <row r="16" spans="1:6" ht="47.4" thickBot="1" x14ac:dyDescent="0.35">
      <c r="A16" s="6">
        <v>46243</v>
      </c>
      <c r="B16" s="6" t="s">
        <v>30</v>
      </c>
      <c r="C16" s="11" t="s">
        <v>103</v>
      </c>
      <c r="D16" s="11" t="s">
        <v>158</v>
      </c>
      <c r="E16" s="4" t="s">
        <v>141</v>
      </c>
      <c r="F16" s="4" t="s">
        <v>104</v>
      </c>
    </row>
    <row r="17" spans="1:6" ht="16.2" thickBot="1" x14ac:dyDescent="0.35">
      <c r="A17" s="6">
        <v>46252</v>
      </c>
      <c r="B17" s="6" t="s">
        <v>32</v>
      </c>
      <c r="C17" s="26" t="s">
        <v>36</v>
      </c>
      <c r="D17" s="26" t="s">
        <v>159</v>
      </c>
      <c r="E17" s="26" t="s">
        <v>133</v>
      </c>
      <c r="F17" s="31" t="s">
        <v>46</v>
      </c>
    </row>
    <row r="18" spans="1:6" ht="16.2" thickBot="1" x14ac:dyDescent="0.35">
      <c r="A18" s="6">
        <v>46253</v>
      </c>
      <c r="B18" s="6" t="s">
        <v>33</v>
      </c>
      <c r="C18" s="27"/>
      <c r="D18" s="27"/>
      <c r="E18" s="27"/>
      <c r="F18" s="32"/>
    </row>
    <row r="19" spans="1:6" ht="31.8" customHeight="1" thickBot="1" x14ac:dyDescent="0.35">
      <c r="A19" s="6">
        <v>46255</v>
      </c>
      <c r="B19" s="6" t="s">
        <v>35</v>
      </c>
      <c r="C19" s="26" t="s">
        <v>16</v>
      </c>
      <c r="D19" s="26" t="s">
        <v>160</v>
      </c>
      <c r="E19" s="26" t="s">
        <v>161</v>
      </c>
      <c r="F19" s="31" t="s">
        <v>46</v>
      </c>
    </row>
    <row r="20" spans="1:6" ht="16.2" thickBot="1" x14ac:dyDescent="0.35">
      <c r="A20" s="6">
        <v>46256</v>
      </c>
      <c r="B20" s="6" t="s">
        <v>29</v>
      </c>
      <c r="C20" s="27"/>
      <c r="D20" s="27"/>
      <c r="E20" s="27"/>
      <c r="F20" s="32"/>
    </row>
    <row r="21" spans="1:6" ht="16.2" thickBot="1" x14ac:dyDescent="0.35">
      <c r="A21" s="6">
        <v>46256</v>
      </c>
      <c r="B21" s="6" t="s">
        <v>29</v>
      </c>
      <c r="C21" s="4" t="s">
        <v>162</v>
      </c>
      <c r="D21" s="4" t="s">
        <v>163</v>
      </c>
      <c r="E21" s="4" t="s">
        <v>141</v>
      </c>
      <c r="F21" s="4" t="s">
        <v>104</v>
      </c>
    </row>
    <row r="22" spans="1:6" ht="31.8" thickBot="1" x14ac:dyDescent="0.35">
      <c r="A22" s="6">
        <v>46257</v>
      </c>
      <c r="B22" s="6" t="s">
        <v>30</v>
      </c>
      <c r="C22" s="4" t="s">
        <v>164</v>
      </c>
      <c r="D22" s="2" t="s">
        <v>165</v>
      </c>
      <c r="E22" s="4" t="s">
        <v>133</v>
      </c>
      <c r="F22" s="4" t="s">
        <v>37</v>
      </c>
    </row>
    <row r="23" spans="1:6" ht="63" thickBot="1" x14ac:dyDescent="0.35">
      <c r="A23" s="6">
        <v>46260</v>
      </c>
      <c r="B23" s="6" t="s">
        <v>33</v>
      </c>
      <c r="C23" s="4" t="s">
        <v>166</v>
      </c>
      <c r="D23" s="2" t="s">
        <v>167</v>
      </c>
      <c r="E23" s="4" t="s">
        <v>141</v>
      </c>
      <c r="F23" s="4" t="s">
        <v>104</v>
      </c>
    </row>
    <row r="24" spans="1:6" ht="31.8" thickBot="1" x14ac:dyDescent="0.35">
      <c r="A24" s="6">
        <v>46262</v>
      </c>
      <c r="B24" s="6" t="s">
        <v>35</v>
      </c>
      <c r="C24" s="4" t="s">
        <v>168</v>
      </c>
      <c r="D24" s="4" t="s">
        <v>169</v>
      </c>
      <c r="E24" s="4" t="s">
        <v>141</v>
      </c>
      <c r="F24" s="33" t="s">
        <v>104</v>
      </c>
    </row>
    <row r="25" spans="1:6" ht="16.2" customHeight="1" thickBot="1" x14ac:dyDescent="0.35">
      <c r="A25" s="6">
        <v>46263</v>
      </c>
      <c r="B25" s="6" t="s">
        <v>29</v>
      </c>
      <c r="C25" s="36" t="s">
        <v>170</v>
      </c>
      <c r="D25" s="37"/>
      <c r="E25" s="26" t="s">
        <v>133</v>
      </c>
      <c r="F25" s="31" t="s">
        <v>17</v>
      </c>
    </row>
    <row r="26" spans="1:6" ht="16.2" thickBot="1" x14ac:dyDescent="0.35">
      <c r="A26" s="6">
        <v>46264</v>
      </c>
      <c r="B26" s="6" t="s">
        <v>30</v>
      </c>
      <c r="C26" s="38"/>
      <c r="D26" s="39"/>
      <c r="E26" s="27"/>
      <c r="F26" s="32"/>
    </row>
    <row r="27" spans="1:6" ht="31.8" customHeight="1" thickBot="1" x14ac:dyDescent="0.35">
      <c r="A27" s="6">
        <v>46266</v>
      </c>
      <c r="B27" s="6" t="s">
        <v>32</v>
      </c>
      <c r="C27" s="34" t="s">
        <v>171</v>
      </c>
      <c r="D27" s="35"/>
      <c r="E27" s="4" t="s">
        <v>134</v>
      </c>
      <c r="F27" s="4" t="s">
        <v>46</v>
      </c>
    </row>
    <row r="28" spans="1:6" ht="47.4" thickBot="1" x14ac:dyDescent="0.35">
      <c r="A28" s="6">
        <v>46267</v>
      </c>
      <c r="B28" s="6" t="s">
        <v>33</v>
      </c>
      <c r="C28" s="4" t="s">
        <v>172</v>
      </c>
      <c r="D28" s="4" t="s">
        <v>173</v>
      </c>
      <c r="E28" s="4" t="s">
        <v>141</v>
      </c>
      <c r="F28" s="4" t="s">
        <v>104</v>
      </c>
    </row>
    <row r="29" spans="1:6" ht="16.2" thickBot="1" x14ac:dyDescent="0.35">
      <c r="A29" s="6">
        <v>46268</v>
      </c>
      <c r="B29" s="6" t="s">
        <v>34</v>
      </c>
      <c r="C29" s="26" t="s">
        <v>21</v>
      </c>
      <c r="D29" s="26" t="s">
        <v>175</v>
      </c>
      <c r="E29" s="26" t="s">
        <v>174</v>
      </c>
      <c r="F29" s="26" t="s">
        <v>104</v>
      </c>
    </row>
    <row r="30" spans="1:6" ht="16.2" thickBot="1" x14ac:dyDescent="0.35">
      <c r="A30" s="6">
        <v>46269</v>
      </c>
      <c r="B30" s="6" t="s">
        <v>35</v>
      </c>
      <c r="C30" s="27"/>
      <c r="D30" s="27"/>
      <c r="E30" s="27"/>
      <c r="F30" s="27"/>
    </row>
    <row r="31" spans="1:6" ht="31.8" thickBot="1" x14ac:dyDescent="0.35">
      <c r="A31" s="6">
        <v>46270</v>
      </c>
      <c r="B31" s="6" t="s">
        <v>29</v>
      </c>
      <c r="C31" s="40" t="s">
        <v>177</v>
      </c>
      <c r="D31" s="41"/>
      <c r="E31" s="2" t="s">
        <v>155</v>
      </c>
      <c r="F31" s="2" t="s">
        <v>153</v>
      </c>
    </row>
    <row r="32" spans="1:6" ht="31.8" thickBot="1" x14ac:dyDescent="0.35">
      <c r="A32" s="6">
        <v>46270</v>
      </c>
      <c r="B32" s="6" t="s">
        <v>29</v>
      </c>
      <c r="C32" s="4" t="s">
        <v>178</v>
      </c>
      <c r="D32" s="4" t="s">
        <v>176</v>
      </c>
      <c r="E32" s="4" t="s">
        <v>155</v>
      </c>
      <c r="F32" s="4" t="s">
        <v>107</v>
      </c>
    </row>
    <row r="33" spans="1:6" ht="31.8" customHeight="1" thickBot="1" x14ac:dyDescent="0.35">
      <c r="A33" s="6">
        <v>46271</v>
      </c>
      <c r="B33" s="6" t="s">
        <v>30</v>
      </c>
      <c r="C33" s="34" t="s">
        <v>179</v>
      </c>
      <c r="D33" s="35"/>
      <c r="E33" s="4" t="s">
        <v>141</v>
      </c>
      <c r="F33" s="4" t="s">
        <v>104</v>
      </c>
    </row>
    <row r="34" spans="1:6" ht="16.2" thickBot="1" x14ac:dyDescent="0.35">
      <c r="A34" s="6">
        <v>46272</v>
      </c>
      <c r="B34" s="6" t="s">
        <v>31</v>
      </c>
      <c r="C34" s="4" t="s">
        <v>183</v>
      </c>
      <c r="D34" s="4" t="s">
        <v>180</v>
      </c>
      <c r="E34" s="4" t="s">
        <v>181</v>
      </c>
      <c r="F34" s="4" t="s">
        <v>182</v>
      </c>
    </row>
    <row r="35" spans="1:6" ht="63" thickBot="1" x14ac:dyDescent="0.35">
      <c r="A35" s="6">
        <v>46273</v>
      </c>
      <c r="B35" s="6" t="s">
        <v>32</v>
      </c>
      <c r="C35" s="4" t="s">
        <v>183</v>
      </c>
      <c r="D35" s="4" t="s">
        <v>184</v>
      </c>
      <c r="E35" s="4" t="s">
        <v>133</v>
      </c>
      <c r="F35" s="4"/>
    </row>
    <row r="36" spans="1:6" ht="16.2" thickBot="1" x14ac:dyDescent="0.35">
      <c r="A36" s="6">
        <v>46275</v>
      </c>
      <c r="B36" s="6" t="s">
        <v>34</v>
      </c>
      <c r="C36" s="26" t="s">
        <v>185</v>
      </c>
      <c r="D36" s="26" t="s">
        <v>187</v>
      </c>
      <c r="E36" s="26" t="s">
        <v>186</v>
      </c>
      <c r="F36" s="31"/>
    </row>
    <row r="37" spans="1:6" ht="16.2" thickBot="1" x14ac:dyDescent="0.35">
      <c r="A37" s="6">
        <v>46276</v>
      </c>
      <c r="B37" s="6" t="s">
        <v>35</v>
      </c>
      <c r="C37" s="42"/>
      <c r="D37" s="42"/>
      <c r="E37" s="42"/>
      <c r="F37" s="45"/>
    </row>
    <row r="38" spans="1:6" ht="16.2" thickBot="1" x14ac:dyDescent="0.35">
      <c r="A38" s="6">
        <v>46277</v>
      </c>
      <c r="B38" s="6" t="s">
        <v>29</v>
      </c>
      <c r="C38" s="42"/>
      <c r="D38" s="42"/>
      <c r="E38" s="42"/>
      <c r="F38" s="45"/>
    </row>
    <row r="39" spans="1:6" ht="16.2" thickBot="1" x14ac:dyDescent="0.35">
      <c r="A39" s="6">
        <v>46278</v>
      </c>
      <c r="B39" s="6" t="s">
        <v>30</v>
      </c>
      <c r="C39" s="27"/>
      <c r="D39" s="27"/>
      <c r="E39" s="27"/>
      <c r="F39" s="32"/>
    </row>
    <row r="40" spans="1:6" ht="31.8" thickBot="1" x14ac:dyDescent="0.35">
      <c r="A40" s="6">
        <v>46285</v>
      </c>
      <c r="B40" s="6" t="s">
        <v>30</v>
      </c>
      <c r="C40" s="4" t="s">
        <v>70</v>
      </c>
      <c r="D40" s="4" t="s">
        <v>188</v>
      </c>
      <c r="E40" s="4" t="s">
        <v>189</v>
      </c>
      <c r="F40" s="33" t="s">
        <v>37</v>
      </c>
    </row>
    <row r="41" spans="1:6" ht="16.2" thickBot="1" x14ac:dyDescent="0.35">
      <c r="A41" s="6">
        <v>46290</v>
      </c>
      <c r="B41" s="6" t="s">
        <v>35</v>
      </c>
      <c r="C41" s="26" t="s">
        <v>118</v>
      </c>
      <c r="D41" s="24" t="s">
        <v>165</v>
      </c>
      <c r="E41" s="26" t="s">
        <v>134</v>
      </c>
      <c r="F41" s="28"/>
    </row>
    <row r="42" spans="1:6" ht="16.2" thickBot="1" x14ac:dyDescent="0.35">
      <c r="A42" s="6">
        <v>46291</v>
      </c>
      <c r="B42" s="6" t="s">
        <v>29</v>
      </c>
      <c r="C42" s="42"/>
      <c r="D42" s="43"/>
      <c r="E42" s="42"/>
      <c r="F42" s="44"/>
    </row>
    <row r="43" spans="1:6" ht="16.2" thickBot="1" x14ac:dyDescent="0.35">
      <c r="A43" s="6">
        <v>46292</v>
      </c>
      <c r="B43" s="6" t="s">
        <v>30</v>
      </c>
      <c r="C43" s="27"/>
      <c r="D43" s="25"/>
      <c r="E43" s="27"/>
      <c r="F43" s="29"/>
    </row>
  </sheetData>
  <mergeCells count="33">
    <mergeCell ref="C36:C39"/>
    <mergeCell ref="D36:D39"/>
    <mergeCell ref="E36:E39"/>
    <mergeCell ref="F36:F39"/>
    <mergeCell ref="C41:C43"/>
    <mergeCell ref="D41:D43"/>
    <mergeCell ref="E41:E43"/>
    <mergeCell ref="F41:F43"/>
    <mergeCell ref="C5:D5"/>
    <mergeCell ref="C25:D26"/>
    <mergeCell ref="C27:D27"/>
    <mergeCell ref="C12:D12"/>
    <mergeCell ref="C31:D31"/>
    <mergeCell ref="C33:D33"/>
    <mergeCell ref="E25:E26"/>
    <mergeCell ref="F25:F26"/>
    <mergeCell ref="C29:C30"/>
    <mergeCell ref="D29:D30"/>
    <mergeCell ref="E29:E30"/>
    <mergeCell ref="F29:F30"/>
    <mergeCell ref="E12:E13"/>
    <mergeCell ref="C17:C18"/>
    <mergeCell ref="D17:D18"/>
    <mergeCell ref="E17:E18"/>
    <mergeCell ref="F17:F18"/>
    <mergeCell ref="D19:D20"/>
    <mergeCell ref="C19:C20"/>
    <mergeCell ref="E19:E20"/>
    <mergeCell ref="F19:F20"/>
    <mergeCell ref="A12:A13"/>
    <mergeCell ref="B12:B13"/>
    <mergeCell ref="A6:A7"/>
    <mergeCell ref="B6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fiorenza de nunzio</cp:lastModifiedBy>
  <cp:lastPrinted>2026-06-15T09:45:20Z</cp:lastPrinted>
  <dcterms:created xsi:type="dcterms:W3CDTF">2024-12-03T08:16:33Z</dcterms:created>
  <dcterms:modified xsi:type="dcterms:W3CDTF">2026-06-23T16:25:40Z</dcterms:modified>
</cp:coreProperties>
</file>